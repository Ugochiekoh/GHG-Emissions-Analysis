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ster\Downloads\FORAGE\"/>
    </mc:Choice>
  </mc:AlternateContent>
  <xr:revisionPtr revIDLastSave="0" documentId="13_ncr:1_{0DB86904-25BA-4510-B8E8-5DAFEAE85F7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g/LcoVxHettcGE/EtWMHkXY+Z6IA=="/>
    </ext>
  </extLst>
</workbook>
</file>

<file path=xl/calcChain.xml><?xml version="1.0" encoding="utf-8"?>
<calcChain xmlns="http://schemas.openxmlformats.org/spreadsheetml/2006/main">
  <c r="H6" i="1" l="1"/>
  <c r="H4" i="1"/>
  <c r="H5" i="1"/>
  <c r="H3" i="1"/>
</calcChain>
</file>

<file path=xl/sharedStrings.xml><?xml version="1.0" encoding="utf-8"?>
<sst xmlns="http://schemas.openxmlformats.org/spreadsheetml/2006/main" count="51" uniqueCount="30">
  <si>
    <t>Emission Source</t>
  </si>
  <si>
    <t>Unit</t>
  </si>
  <si>
    <t>Emissions</t>
  </si>
  <si>
    <t>Data Year</t>
  </si>
  <si>
    <t>Purchased goods and services</t>
  </si>
  <si>
    <t>tCO2</t>
  </si>
  <si>
    <t>Investments</t>
  </si>
  <si>
    <t>HVAC electricity for Fast Cars Offices</t>
  </si>
  <si>
    <t>Emissions of company vehicles</t>
  </si>
  <si>
    <t>Fuel and Energy Related Activities</t>
  </si>
  <si>
    <t>Upstream Transportation and Distribution</t>
  </si>
  <si>
    <t>Fast Cars Manufacturing Onsite Gas Boilers</t>
  </si>
  <si>
    <t>Business Travel</t>
  </si>
  <si>
    <t>Upstream Leased Assets</t>
  </si>
  <si>
    <t>Downstream Transportation and Distribution</t>
  </si>
  <si>
    <t>Processing of Sold Products</t>
  </si>
  <si>
    <t>Electricity for Fast Cars Manufacturing</t>
  </si>
  <si>
    <t>Use of Sold Products</t>
  </si>
  <si>
    <t>End-of-Life Treatment of Sold Products</t>
  </si>
  <si>
    <t>Downstream Leased Assets</t>
  </si>
  <si>
    <t>Franchises</t>
  </si>
  <si>
    <t>Electricity for Fast Cars Offices</t>
  </si>
  <si>
    <t>Employee Commuting</t>
  </si>
  <si>
    <t>Capital Goods</t>
  </si>
  <si>
    <t>Waste Generated in Operations</t>
  </si>
  <si>
    <t>Fugitive emissions at Fast Cars Locations</t>
  </si>
  <si>
    <t>Summary Table</t>
  </si>
  <si>
    <t>Scope</t>
  </si>
  <si>
    <t>Emmisions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</si>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</sst>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??_-;_-@"/>
    <numFmt numFmtId="165" formatCode="_-* #,##0.00_-;\-* #,##0.00_-;_-* &quot;-&quot;??_-;_-@"/>
  </numFmts>
  <fonts count="7" x14ac:knownFonts="1">
    <font>
      <sz val="11"/>
      <color theme="1"/>
      <name val="Arial"/>
    </font>
    <font>
      <b/>
      <sz val="11"/>
      <color theme="1"/>
      <name val="Arial"/>
    </font>
    <font>
      <b/>
      <sz val="11"/>
      <color theme="1"/>
      <name val="Calibri"/>
    </font>
    <font>
      <sz val="11"/>
      <color theme="1"/>
      <name val="Arial"/>
    </font>
    <font>
      <sz val="11"/>
      <color theme="1"/>
      <name val="Calibri"/>
    </font>
    <font>
      <sz val="11"/>
      <color theme="1"/>
      <name val="Arial"/>
    </font>
    <font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/>
    <xf numFmtId="3" fontId="3" fillId="0" borderId="0" xfId="0" applyNumberFormat="1" applyFont="1" applyAlignment="1"/>
    <xf numFmtId="164" fontId="4" fillId="0" borderId="0" xfId="0" applyNumberFormat="1" applyFont="1"/>
    <xf numFmtId="3" fontId="3" fillId="0" borderId="0" xfId="0" applyNumberFormat="1" applyFont="1"/>
    <xf numFmtId="3" fontId="4" fillId="0" borderId="0" xfId="0" applyNumberFormat="1" applyFont="1"/>
    <xf numFmtId="3" fontId="5" fillId="0" borderId="0" xfId="0" applyNumberFormat="1" applyFont="1"/>
    <xf numFmtId="165" fontId="4" fillId="0" borderId="0" xfId="0" applyNumberFormat="1" applyFont="1"/>
    <xf numFmtId="3" fontId="5" fillId="0" borderId="0" xfId="0" applyNumberFormat="1" applyFont="1" applyAlignment="1"/>
    <xf numFmtId="3" fontId="6" fillId="0" borderId="0" xfId="0" applyNumberFormat="1" applyFont="1"/>
    <xf numFmtId="1" fontId="4" fillId="0" borderId="0" xfId="0" applyNumberFormat="1" applyFont="1"/>
    <xf numFmtId="0" fontId="1" fillId="0" borderId="0" xfId="0" applyFont="1" applyAlignment="1"/>
    <xf numFmtId="3" fontId="0" fillId="0" borderId="0" xfId="0" applyNumberFormat="1" applyFont="1" applyAlignment="1"/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3" formatCode="#,##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4C0980-E381-4E1A-9899-1E01A56A4E4F}" name="Fastcars" displayName="Fastcars" ref="A1:E22" totalsRowShown="0" headerRowDxfId="0">
  <autoFilter ref="A1:E22" xr:uid="{9F4C0980-E381-4E1A-9899-1E01A56A4E4F}"/>
  <tableColumns count="5">
    <tableColumn id="1" xr3:uid="{5411737A-B927-4F1F-B4D2-F6ADF0815C19}" name="Emission Source" dataDxfId="4"/>
    <tableColumn id="2" xr3:uid="{DE7F71C6-36F3-44AA-9344-E67066FF29E1}" name="Unit" dataDxfId="3"/>
    <tableColumn id="3" xr3:uid="{31D571B9-2C85-4CE7-B6A5-85B8C593E2D4}" name="Emissions" dataDxfId="2"/>
    <tableColumn id="4" xr3:uid="{0330BA36-F841-48D4-A5D2-C22E6D4620DB}" name="Data Year" dataDxfId="1"/>
    <tableColumn id="5" xr3:uid="{06F3789E-BD61-4D56-9855-B62FFDD24702}" name="Sco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tabSelected="1" topLeftCell="A4" workbookViewId="0">
      <selection activeCell="F15" sqref="F15"/>
    </sheetView>
  </sheetViews>
  <sheetFormatPr defaultColWidth="12.6640625" defaultRowHeight="15" customHeight="1" x14ac:dyDescent="0.3"/>
  <cols>
    <col min="1" max="1" width="34.1640625" customWidth="1"/>
    <col min="2" max="2" width="7.6640625" customWidth="1"/>
    <col min="3" max="3" width="19.6640625" customWidth="1"/>
    <col min="4" max="4" width="13.83203125" customWidth="1"/>
    <col min="5" max="5" width="14.25" customWidth="1"/>
    <col min="6" max="6" width="13.6640625" customWidth="1"/>
    <col min="7" max="7" width="7.6640625" customWidth="1"/>
    <col min="8" max="8" width="13.6640625" customWidth="1"/>
    <col min="9" max="11" width="7.6640625" customWidth="1"/>
    <col min="12" max="12" width="34.1640625" customWidth="1"/>
    <col min="13" max="16" width="7.6640625" customWidth="1"/>
    <col min="17" max="17" width="11.9140625" customWidth="1"/>
    <col min="18" max="18" width="12.75" customWidth="1"/>
    <col min="19" max="19" width="6.4140625" customWidth="1"/>
    <col min="20" max="25" width="7.6640625" customWidth="1"/>
  </cols>
  <sheetData>
    <row r="1" spans="1:19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4" t="s">
        <v>27</v>
      </c>
      <c r="G1" s="14" t="s">
        <v>26</v>
      </c>
      <c r="L1" s="2"/>
      <c r="M1" s="2"/>
      <c r="N1" s="2"/>
      <c r="O1" s="2"/>
    </row>
    <row r="2" spans="1:19" ht="14.25" customHeight="1" x14ac:dyDescent="0.35">
      <c r="A2" s="3" t="s">
        <v>4</v>
      </c>
      <c r="B2" s="4" t="s">
        <v>5</v>
      </c>
      <c r="C2" s="5">
        <v>10000000</v>
      </c>
      <c r="D2" s="3">
        <v>2019</v>
      </c>
      <c r="E2">
        <v>1</v>
      </c>
      <c r="F2" s="6"/>
      <c r="G2" t="s">
        <v>27</v>
      </c>
      <c r="H2" t="s">
        <v>28</v>
      </c>
    </row>
    <row r="3" spans="1:19" ht="14.25" customHeight="1" x14ac:dyDescent="0.3">
      <c r="A3" s="3" t="s">
        <v>6</v>
      </c>
      <c r="B3" s="4" t="s">
        <v>5</v>
      </c>
      <c r="C3" s="7">
        <v>0</v>
      </c>
      <c r="D3" s="3">
        <v>2020</v>
      </c>
      <c r="E3">
        <v>1</v>
      </c>
      <c r="G3">
        <v>1</v>
      </c>
      <c r="H3" s="15">
        <f>SUMIF(E:E,1,C:C)</f>
        <v>10088767</v>
      </c>
    </row>
    <row r="4" spans="1:19" ht="14.25" customHeight="1" x14ac:dyDescent="0.3">
      <c r="A4" s="4" t="s">
        <v>7</v>
      </c>
      <c r="B4" s="4" t="s">
        <v>5</v>
      </c>
      <c r="C4" s="5">
        <v>88767</v>
      </c>
      <c r="D4" s="4">
        <v>2019</v>
      </c>
      <c r="E4">
        <v>1</v>
      </c>
      <c r="G4">
        <v>2</v>
      </c>
      <c r="H4">
        <f>SUMIF(E:E,2,C:C)</f>
        <v>917000</v>
      </c>
    </row>
    <row r="5" spans="1:19" ht="14.25" customHeight="1" x14ac:dyDescent="0.3">
      <c r="A5" s="3" t="s">
        <v>8</v>
      </c>
      <c r="B5" s="3" t="s">
        <v>5</v>
      </c>
      <c r="C5" s="9">
        <v>85000</v>
      </c>
      <c r="D5" s="4">
        <v>2019</v>
      </c>
      <c r="E5">
        <v>2</v>
      </c>
      <c r="G5">
        <v>3</v>
      </c>
      <c r="H5">
        <f>SUMIF(E:E,3,C:C)</f>
        <v>83623319</v>
      </c>
    </row>
    <row r="6" spans="1:19" ht="14.25" customHeight="1" x14ac:dyDescent="0.3">
      <c r="A6" s="3" t="s">
        <v>9</v>
      </c>
      <c r="B6" s="4" t="s">
        <v>5</v>
      </c>
      <c r="C6" s="5">
        <v>208000</v>
      </c>
      <c r="D6" s="3">
        <v>2020</v>
      </c>
      <c r="E6">
        <v>2</v>
      </c>
      <c r="G6" t="s">
        <v>29</v>
      </c>
      <c r="H6" s="15">
        <f>SUM(H3+H4+H5)</f>
        <v>94629086</v>
      </c>
    </row>
    <row r="7" spans="1:19" ht="14.25" customHeight="1" x14ac:dyDescent="0.3">
      <c r="A7" s="3" t="s">
        <v>10</v>
      </c>
      <c r="B7" s="4" t="s">
        <v>5</v>
      </c>
      <c r="C7" s="5">
        <v>624000</v>
      </c>
      <c r="D7" s="3">
        <v>2019</v>
      </c>
      <c r="E7">
        <v>2</v>
      </c>
    </row>
    <row r="8" spans="1:19" ht="14.25" customHeight="1" x14ac:dyDescent="0.3">
      <c r="A8" s="4" t="s">
        <v>11</v>
      </c>
      <c r="B8" s="4" t="s">
        <v>5</v>
      </c>
      <c r="C8" s="4">
        <v>150989</v>
      </c>
      <c r="D8" s="4">
        <v>2020</v>
      </c>
      <c r="E8">
        <v>3</v>
      </c>
    </row>
    <row r="9" spans="1:19" ht="14.25" customHeight="1" x14ac:dyDescent="0.35">
      <c r="A9" s="3" t="s">
        <v>12</v>
      </c>
      <c r="B9" s="3" t="s">
        <v>5</v>
      </c>
      <c r="C9" s="9">
        <v>121464</v>
      </c>
      <c r="D9" s="3">
        <v>2018</v>
      </c>
      <c r="E9" s="8">
        <v>3</v>
      </c>
    </row>
    <row r="10" spans="1:19" ht="14.25" customHeight="1" x14ac:dyDescent="0.35">
      <c r="A10" s="3" t="s">
        <v>13</v>
      </c>
      <c r="B10" s="4" t="s">
        <v>5</v>
      </c>
      <c r="C10" s="7">
        <v>0</v>
      </c>
      <c r="D10" s="4">
        <v>2019</v>
      </c>
      <c r="E10">
        <v>3</v>
      </c>
      <c r="N10" s="8"/>
    </row>
    <row r="11" spans="1:19" ht="14.25" customHeight="1" x14ac:dyDescent="0.35">
      <c r="A11" s="3" t="s">
        <v>14</v>
      </c>
      <c r="B11" s="4" t="s">
        <v>5</v>
      </c>
      <c r="C11" s="5">
        <v>706000</v>
      </c>
      <c r="D11" s="3">
        <v>2020</v>
      </c>
      <c r="E11" s="8">
        <v>3</v>
      </c>
      <c r="N11" s="8"/>
    </row>
    <row r="12" spans="1:19" ht="14.25" customHeight="1" x14ac:dyDescent="0.3">
      <c r="A12" s="3" t="s">
        <v>15</v>
      </c>
      <c r="B12" s="4" t="s">
        <v>5</v>
      </c>
      <c r="C12" s="5">
        <v>10000</v>
      </c>
      <c r="D12" s="3">
        <v>2018</v>
      </c>
      <c r="E12">
        <v>3</v>
      </c>
    </row>
    <row r="13" spans="1:19" ht="14.25" customHeight="1" x14ac:dyDescent="0.35">
      <c r="A13" s="4" t="s">
        <v>16</v>
      </c>
      <c r="B13" s="4" t="s">
        <v>5</v>
      </c>
      <c r="C13" s="5">
        <v>362089</v>
      </c>
      <c r="D13" s="4">
        <v>2019</v>
      </c>
      <c r="E13" s="8">
        <v>3</v>
      </c>
    </row>
    <row r="14" spans="1:19" ht="14.25" customHeight="1" x14ac:dyDescent="0.35">
      <c r="A14" s="3" t="s">
        <v>17</v>
      </c>
      <c r="B14" s="4" t="s">
        <v>5</v>
      </c>
      <c r="C14" s="5">
        <v>80675000</v>
      </c>
      <c r="D14" s="3">
        <v>2018</v>
      </c>
      <c r="E14">
        <v>3</v>
      </c>
      <c r="Q14" s="6"/>
      <c r="R14" s="6"/>
      <c r="S14" s="8"/>
    </row>
    <row r="15" spans="1:19" ht="14.25" customHeight="1" x14ac:dyDescent="0.35">
      <c r="A15" s="3" t="s">
        <v>18</v>
      </c>
      <c r="B15" s="4" t="s">
        <v>5</v>
      </c>
      <c r="C15" s="5">
        <v>167000</v>
      </c>
      <c r="D15" s="3">
        <v>2019</v>
      </c>
      <c r="E15">
        <v>3</v>
      </c>
      <c r="Q15" s="6"/>
      <c r="R15" s="6"/>
      <c r="S15" s="8"/>
    </row>
    <row r="16" spans="1:19" ht="14.25" customHeight="1" x14ac:dyDescent="0.35">
      <c r="A16" s="3" t="s">
        <v>19</v>
      </c>
      <c r="B16" s="4" t="s">
        <v>5</v>
      </c>
      <c r="C16" s="7">
        <v>0</v>
      </c>
      <c r="D16" s="3">
        <v>2018</v>
      </c>
      <c r="E16">
        <v>3</v>
      </c>
      <c r="Q16" s="6"/>
      <c r="R16" s="6"/>
      <c r="S16" s="8"/>
    </row>
    <row r="17" spans="1:19" ht="14.25" customHeight="1" x14ac:dyDescent="0.35">
      <c r="A17" s="3" t="s">
        <v>20</v>
      </c>
      <c r="B17" s="4" t="s">
        <v>5</v>
      </c>
      <c r="C17" s="7">
        <v>0</v>
      </c>
      <c r="D17" s="4">
        <v>2019</v>
      </c>
      <c r="E17">
        <v>3</v>
      </c>
      <c r="Q17" s="6"/>
      <c r="R17" s="6"/>
      <c r="S17" s="10"/>
    </row>
    <row r="18" spans="1:19" ht="14.25" customHeight="1" x14ac:dyDescent="0.35">
      <c r="A18" s="4" t="s">
        <v>21</v>
      </c>
      <c r="B18" s="3" t="s">
        <v>5</v>
      </c>
      <c r="C18" s="11">
        <v>108544</v>
      </c>
      <c r="D18" s="3">
        <v>2018</v>
      </c>
      <c r="E18">
        <v>3</v>
      </c>
      <c r="G18" s="12"/>
      <c r="Q18" s="6"/>
      <c r="R18" s="6"/>
    </row>
    <row r="19" spans="1:19" ht="14.25" customHeight="1" x14ac:dyDescent="0.3">
      <c r="A19" s="3" t="s">
        <v>22</v>
      </c>
      <c r="B19" s="3" t="s">
        <v>5</v>
      </c>
      <c r="C19" s="9">
        <v>209233</v>
      </c>
      <c r="D19" s="3">
        <v>2018</v>
      </c>
      <c r="E19">
        <v>3</v>
      </c>
    </row>
    <row r="20" spans="1:19" ht="14.25" customHeight="1" x14ac:dyDescent="0.35">
      <c r="A20" s="3" t="s">
        <v>23</v>
      </c>
      <c r="B20" s="4" t="s">
        <v>5</v>
      </c>
      <c r="C20" s="5">
        <v>1030000</v>
      </c>
      <c r="D20" s="3">
        <v>2018</v>
      </c>
      <c r="E20">
        <v>3</v>
      </c>
      <c r="N20" s="8"/>
    </row>
    <row r="21" spans="1:19" ht="14.25" customHeight="1" x14ac:dyDescent="0.35">
      <c r="A21" s="3" t="s">
        <v>24</v>
      </c>
      <c r="B21" s="4" t="s">
        <v>5</v>
      </c>
      <c r="C21" s="5">
        <v>78000</v>
      </c>
      <c r="D21" s="3">
        <v>2018</v>
      </c>
      <c r="E21">
        <v>3</v>
      </c>
      <c r="N21" s="8"/>
    </row>
    <row r="22" spans="1:19" ht="14.25" customHeight="1" x14ac:dyDescent="0.3">
      <c r="A22" s="4" t="s">
        <v>25</v>
      </c>
      <c r="B22" s="4" t="s">
        <v>5</v>
      </c>
      <c r="C22" s="5">
        <v>5000</v>
      </c>
      <c r="D22" s="4">
        <v>2020</v>
      </c>
      <c r="E22">
        <v>3</v>
      </c>
    </row>
    <row r="25" spans="1:19" ht="14.25" customHeight="1" x14ac:dyDescent="0.3"/>
    <row r="26" spans="1:19" ht="14.25" customHeight="1" x14ac:dyDescent="0.35">
      <c r="E26" s="13"/>
    </row>
    <row r="27" spans="1:19" ht="14.25" customHeight="1" x14ac:dyDescent="0.3"/>
    <row r="28" spans="1:19" ht="14.25" customHeight="1" x14ac:dyDescent="0.3"/>
    <row r="29" spans="1:19" ht="14.25" customHeight="1" x14ac:dyDescent="0.3"/>
    <row r="30" spans="1:19" ht="14.25" customHeight="1" x14ac:dyDescent="0.3"/>
    <row r="31" spans="1:19" ht="14.25" customHeight="1" x14ac:dyDescent="0.3"/>
    <row r="32" spans="1:1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</sheetData>
  <sortState xmlns:xlrd2="http://schemas.microsoft.com/office/spreadsheetml/2017/richdata2" ref="E2:E1002">
    <sortCondition ref="E1:E1002"/>
  </sortState>
  <pageMargins left="0.7" right="0.7" top="0.75" bottom="0.75" header="0" footer="0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Armitage</dc:creator>
  <cp:lastModifiedBy>Master</cp:lastModifiedBy>
  <dcterms:created xsi:type="dcterms:W3CDTF">2021-10-30T03:12:09Z</dcterms:created>
  <dcterms:modified xsi:type="dcterms:W3CDTF">2026-07-15T21:09:25Z</dcterms:modified>
</cp:coreProperties>
</file>